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f19d44f8cd4171/000BSW/00 KULIAH/PAPER/PROGRAM/"/>
    </mc:Choice>
  </mc:AlternateContent>
  <xr:revisionPtr revIDLastSave="0" documentId="8_{F7D95FAD-FDA9-AB4B-838E-928E2DC25A49}" xr6:coauthVersionLast="47" xr6:coauthVersionMax="47" xr10:uidLastSave="{00000000-0000-0000-0000-000000000000}"/>
  <bookViews>
    <workbookView xWindow="5580" yWindow="2300" windowWidth="27640" windowHeight="16940" xr2:uid="{1B4B47F1-DB63-BB47-BDD5-57E6302FB0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1" i="1" l="1"/>
  <c r="H81" i="1"/>
  <c r="C81" i="1"/>
  <c r="L80" i="1"/>
  <c r="H80" i="1"/>
  <c r="M79" i="1"/>
  <c r="L79" i="1"/>
  <c r="H79" i="1"/>
  <c r="D79" i="1"/>
  <c r="N78" i="1"/>
  <c r="M78" i="1"/>
  <c r="L78" i="1"/>
  <c r="L77" i="1"/>
  <c r="L76" i="1"/>
  <c r="E74" i="1"/>
  <c r="D74" i="1"/>
  <c r="C74" i="1"/>
  <c r="N81" i="1" s="1"/>
  <c r="F73" i="1"/>
  <c r="E73" i="1"/>
  <c r="G72" i="1"/>
  <c r="E72" i="1"/>
  <c r="D72" i="1"/>
  <c r="C72" i="1"/>
  <c r="N79" i="1" s="1"/>
  <c r="H71" i="1"/>
  <c r="C71" i="1"/>
  <c r="H70" i="1"/>
  <c r="G70" i="1"/>
  <c r="F70" i="1"/>
  <c r="E70" i="1"/>
  <c r="F69" i="1"/>
  <c r="E69" i="1"/>
  <c r="D69" i="1"/>
  <c r="M77" i="1" s="1"/>
  <c r="G64" i="1"/>
  <c r="F64" i="1"/>
  <c r="E64" i="1"/>
  <c r="E84" i="1" s="1"/>
  <c r="D64" i="1"/>
  <c r="D84" i="1" s="1"/>
  <c r="C64" i="1"/>
  <c r="C84" i="1" s="1"/>
  <c r="F63" i="1"/>
  <c r="F83" i="1" s="1"/>
  <c r="E63" i="1"/>
  <c r="E83" i="1" s="1"/>
  <c r="D63" i="1"/>
  <c r="D73" i="1" s="1"/>
  <c r="C63" i="1"/>
  <c r="C73" i="1" s="1"/>
  <c r="N80" i="1" s="1"/>
  <c r="H62" i="1"/>
  <c r="H72" i="1" s="1"/>
  <c r="G62" i="1"/>
  <c r="G82" i="1" s="1"/>
  <c r="E62" i="1"/>
  <c r="E82" i="1" s="1"/>
  <c r="D62" i="1"/>
  <c r="D82" i="1" s="1"/>
  <c r="C62" i="1"/>
  <c r="C82" i="1" s="1"/>
  <c r="H61" i="1"/>
  <c r="G61" i="1"/>
  <c r="G81" i="1" s="1"/>
  <c r="F61" i="1"/>
  <c r="F71" i="1" s="1"/>
  <c r="D61" i="1"/>
  <c r="D71" i="1" s="1"/>
  <c r="C61" i="1"/>
  <c r="H60" i="1"/>
  <c r="G60" i="1"/>
  <c r="G80" i="1" s="1"/>
  <c r="F60" i="1"/>
  <c r="F80" i="1" s="1"/>
  <c r="E60" i="1"/>
  <c r="E80" i="1" s="1"/>
  <c r="C60" i="1"/>
  <c r="C70" i="1" s="1"/>
  <c r="N77" i="1" s="1"/>
  <c r="H59" i="1"/>
  <c r="H69" i="1" s="1"/>
  <c r="M81" i="1" s="1"/>
  <c r="G59" i="1"/>
  <c r="G79" i="1" s="1"/>
  <c r="F59" i="1"/>
  <c r="F79" i="1" s="1"/>
  <c r="E59" i="1"/>
  <c r="E79" i="1" s="1"/>
  <c r="D59" i="1"/>
  <c r="G35" i="1"/>
  <c r="F35" i="1"/>
  <c r="E35" i="1"/>
  <c r="D35" i="1"/>
  <c r="C35" i="1"/>
  <c r="B35" i="1"/>
  <c r="J10" i="1"/>
  <c r="J9" i="1"/>
  <c r="J8" i="1"/>
  <c r="J7" i="1"/>
  <c r="J6" i="1"/>
  <c r="J5" i="1"/>
  <c r="C83" i="1" l="1"/>
  <c r="D83" i="1"/>
  <c r="H82" i="1"/>
  <c r="D81" i="1"/>
  <c r="G69" i="1"/>
  <c r="M80" i="1" s="1"/>
  <c r="F81" i="1"/>
  <c r="C80" i="1"/>
  <c r="G71" i="1"/>
</calcChain>
</file>

<file path=xl/sharedStrings.xml><?xml version="1.0" encoding="utf-8"?>
<sst xmlns="http://schemas.openxmlformats.org/spreadsheetml/2006/main" count="273" uniqueCount="78">
  <si>
    <t>Matrix Permintaan Kontainer dalam Satuan TEU</t>
  </si>
  <si>
    <t>Biaya terkait (sumber: https://ipctpk.co.id/tarif/)</t>
  </si>
  <si>
    <t>Demand</t>
  </si>
  <si>
    <t>Belawan</t>
  </si>
  <si>
    <t>Tanjung Priok</t>
  </si>
  <si>
    <t>Tanjung Perak</t>
  </si>
  <si>
    <t>Banjarmasin</t>
  </si>
  <si>
    <t>Makasar</t>
  </si>
  <si>
    <t>Sororng</t>
  </si>
  <si>
    <t>Supply</t>
  </si>
  <si>
    <t>Uraian</t>
  </si>
  <si>
    <t>Penjelasan</t>
  </si>
  <si>
    <t>Tarif (Rupiah)</t>
  </si>
  <si>
    <t>Satuan</t>
  </si>
  <si>
    <t>-</t>
  </si>
  <si>
    <t>Bongkar Muat</t>
  </si>
  <si>
    <t>A. Petikemas FCL – CY</t>
  </si>
  <si>
    <t>Per Box</t>
  </si>
  <si>
    <t>B. Petikemas Empty – CY</t>
  </si>
  <si>
    <t>C. Petikemas FCL – TL</t>
  </si>
  <si>
    <t>D. Petikemas Empty – TL</t>
  </si>
  <si>
    <t>E. Petikemas Overheight/Overwidth/Overlength – CY</t>
  </si>
  <si>
    <t>Sorong</t>
  </si>
  <si>
    <t>F. Petikemas Overheight/Overwidth/Overlength – TL</t>
  </si>
  <si>
    <t>Lift On atau Lift Off</t>
  </si>
  <si>
    <t>A. Petikemas Kosong</t>
  </si>
  <si>
    <t>Matrix Jarak Pelabuhan dalam Satuan nm (Neutical miles) (Sumber: Ports.com)</t>
  </si>
  <si>
    <t>B. Petikemas Isi</t>
  </si>
  <si>
    <t>Jasa Dermaga</t>
  </si>
  <si>
    <t>A. Kosong</t>
  </si>
  <si>
    <t>B. Isi</t>
  </si>
  <si>
    <t>C. Petikemas Overheight/Overwidth/Overlength</t>
  </si>
  <si>
    <t>Jasa Penumpukan</t>
  </si>
  <si>
    <t>A. Petikemas kosong</t>
  </si>
  <si>
    <t>Per Box/Hari</t>
  </si>
  <si>
    <t>B. Petikemas isi</t>
  </si>
  <si>
    <t>Matrix Jumlah hari pengiriman dalam kecepatan 10 knots dalam satuan hari (Sumber: Ports.com)</t>
  </si>
  <si>
    <t>D. Petikemas Reefer</t>
  </si>
  <si>
    <t>E. Chassis</t>
  </si>
  <si>
    <t>F. Chassis bermuatan</t>
  </si>
  <si>
    <t>Penggunaan Alat Dermaga</t>
  </si>
  <si>
    <t>1. Full</t>
  </si>
  <si>
    <t>2. Empty</t>
  </si>
  <si>
    <t>Kapasitas Port berdasarkan Troughput bulanan dalam satuan TEU</t>
  </si>
  <si>
    <t>kosong</t>
  </si>
  <si>
    <t>isi</t>
  </si>
  <si>
    <t>Total</t>
  </si>
  <si>
    <t>Transport Cost/ per pejalanan</t>
  </si>
  <si>
    <t>Handling Cost/ di prot tujuan dan asal</t>
  </si>
  <si>
    <t>Pinalty Cost (jika melebihi/datang lebih awal)</t>
  </si>
  <si>
    <t>Yard Cost/hari</t>
  </si>
  <si>
    <t>KOMPOSISI KOSONG</t>
  </si>
  <si>
    <t>Empty</t>
  </si>
  <si>
    <t>Rp 187.000</t>
  </si>
  <si>
    <t>Rp118.000</t>
  </si>
  <si>
    <t>Rp 87.000</t>
  </si>
  <si>
    <t>Rp8.750</t>
  </si>
  <si>
    <t>Full</t>
  </si>
  <si>
    <t>Rp 329.000</t>
  </si>
  <si>
    <t>Rp215.625</t>
  </si>
  <si>
    <t>Rp 190.000</t>
  </si>
  <si>
    <t>Rp17.500</t>
  </si>
  <si>
    <t>KOMPOSISI ISI</t>
  </si>
  <si>
    <t>kirim</t>
  </si>
  <si>
    <t>naik</t>
  </si>
  <si>
    <t>KOORDINAT</t>
  </si>
  <si>
    <t>Koordinat</t>
  </si>
  <si>
    <t>03° 46’ 48.16’’ N / 098° 42’ 09.69’’ E</t>
  </si>
  <si>
    <t>06° 05’ 785’’ S / 106° 52’ 921’’ E</t>
  </si>
  <si>
    <t>7°11′48″S 112°43′58″E﻿ / ﻿7.19667°S 112.73278°E</t>
  </si>
  <si>
    <t>03°-02’-30’’ S / 114°-35’-57’’ E</t>
  </si>
  <si>
    <t>05° 07’.23’’ S / 119° 24.52’ E</t>
  </si>
  <si>
    <t>00° 53’ 10.04’’ S / 131° 16’ 06’’ E</t>
  </si>
  <si>
    <t>Kapasitas Kontainer yard</t>
  </si>
  <si>
    <t>T. Priok</t>
  </si>
  <si>
    <t>T.Perak</t>
  </si>
  <si>
    <t>Makassar</t>
  </si>
  <si>
    <t>Kapasitas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</si>
</sst>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2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3" fontId="5" fillId="0" borderId="2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1" fontId="0" fillId="0" borderId="0" xfId="1" applyFont="1"/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0" borderId="4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3" fontId="0" fillId="0" borderId="0" xfId="0" applyNumberFormat="1"/>
    <xf numFmtId="0" fontId="6" fillId="2" borderId="0" xfId="0" applyFont="1" applyFill="1" applyAlignment="1">
      <alignment vertical="center"/>
    </xf>
    <xf numFmtId="0" fontId="7" fillId="0" borderId="4" xfId="0" applyFont="1" applyBorder="1" applyAlignment="1">
      <alignment vertical="top" wrapText="1"/>
    </xf>
    <xf numFmtId="3" fontId="4" fillId="0" borderId="4" xfId="0" applyNumberFormat="1" applyFont="1" applyBorder="1" applyAlignment="1">
      <alignment horizontal="center" vertical="center" wrapText="1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pctpk.co.id/tari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0AC7-A2BF-274B-934D-E1D71171413B}">
  <dimension ref="B1:P102"/>
  <sheetViews>
    <sheetView tabSelected="1" workbookViewId="0">
      <selection sqref="A1:XFD1048576"/>
    </sheetView>
  </sheetViews>
  <sheetFormatPr baseColWidth="10" defaultColWidth="8.83203125" defaultRowHeight="16" x14ac:dyDescent="0.2"/>
  <cols>
    <col min="2" max="2" width="15.5" customWidth="1"/>
    <col min="3" max="3" width="36.33203125" style="1" customWidth="1"/>
    <col min="4" max="4" width="14.6640625" bestFit="1" customWidth="1"/>
    <col min="5" max="5" width="25.33203125" customWidth="1"/>
    <col min="6" max="6" width="33" customWidth="1"/>
    <col min="7" max="7" width="24" customWidth="1"/>
    <col min="8" max="8" width="27.5" customWidth="1"/>
    <col min="9" max="9" width="15.6640625" customWidth="1"/>
    <col min="12" max="12" width="17.5" customWidth="1"/>
    <col min="13" max="13" width="48.6640625" bestFit="1" customWidth="1"/>
    <col min="14" max="14" width="13.6640625" customWidth="1"/>
    <col min="15" max="15" width="13.33203125" customWidth="1"/>
    <col min="16" max="16" width="17.1640625" customWidth="1"/>
  </cols>
  <sheetData>
    <row r="1" spans="2:15" ht="14" customHeight="1" x14ac:dyDescent="0.2"/>
    <row r="3" spans="2:15" x14ac:dyDescent="0.2">
      <c r="B3" s="2" t="s">
        <v>0</v>
      </c>
      <c r="L3" s="3" t="s">
        <v>1</v>
      </c>
    </row>
    <row r="4" spans="2:15" ht="17" x14ac:dyDescent="0.2">
      <c r="B4" s="4" t="s">
        <v>2</v>
      </c>
      <c r="C4" s="5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L4" s="7" t="s">
        <v>10</v>
      </c>
      <c r="M4" s="7" t="s">
        <v>11</v>
      </c>
      <c r="N4" s="7" t="s">
        <v>12</v>
      </c>
      <c r="O4" s="7" t="s">
        <v>13</v>
      </c>
    </row>
    <row r="5" spans="2:15" ht="17" x14ac:dyDescent="0.2">
      <c r="B5" s="6" t="s">
        <v>3</v>
      </c>
      <c r="C5" s="5" t="s">
        <v>14</v>
      </c>
      <c r="D5" s="8">
        <v>6693</v>
      </c>
      <c r="E5" s="8">
        <v>1058</v>
      </c>
      <c r="F5" s="6">
        <v>87</v>
      </c>
      <c r="G5" s="6">
        <v>81</v>
      </c>
      <c r="H5" s="6">
        <v>27</v>
      </c>
      <c r="I5" s="8">
        <v>7946</v>
      </c>
      <c r="J5">
        <f>I5/2400</f>
        <v>3.3108333333333335</v>
      </c>
      <c r="L5" s="9" t="s">
        <v>15</v>
      </c>
      <c r="M5" s="9" t="s">
        <v>16</v>
      </c>
      <c r="N5" s="10">
        <v>750000</v>
      </c>
      <c r="O5" s="9" t="s">
        <v>17</v>
      </c>
    </row>
    <row r="6" spans="2:15" ht="17" x14ac:dyDescent="0.2">
      <c r="B6" s="6" t="s">
        <v>4</v>
      </c>
      <c r="C6" s="11">
        <v>6740</v>
      </c>
      <c r="D6" s="6" t="s">
        <v>14</v>
      </c>
      <c r="E6" s="8">
        <v>1916</v>
      </c>
      <c r="F6" s="8">
        <v>4092</v>
      </c>
      <c r="G6" s="8">
        <v>2798</v>
      </c>
      <c r="H6" s="6">
        <v>464</v>
      </c>
      <c r="I6" s="8">
        <v>16010</v>
      </c>
      <c r="J6">
        <f t="shared" ref="J6:J10" si="0">I6/2400</f>
        <v>6.6708333333333334</v>
      </c>
      <c r="L6" s="12"/>
      <c r="M6" s="9" t="s">
        <v>18</v>
      </c>
      <c r="N6" s="10">
        <v>405000</v>
      </c>
      <c r="O6" s="9" t="s">
        <v>17</v>
      </c>
    </row>
    <row r="7" spans="2:15" ht="17" x14ac:dyDescent="0.2">
      <c r="B7" s="6" t="s">
        <v>5</v>
      </c>
      <c r="C7" s="11">
        <v>1036</v>
      </c>
      <c r="D7" s="8">
        <v>2473</v>
      </c>
      <c r="E7" s="6" t="s">
        <v>14</v>
      </c>
      <c r="F7" s="8">
        <v>3795</v>
      </c>
      <c r="G7" s="8">
        <v>4820</v>
      </c>
      <c r="H7" s="8">
        <v>2174</v>
      </c>
      <c r="I7" s="8">
        <v>14262</v>
      </c>
      <c r="J7">
        <f t="shared" si="0"/>
        <v>5.9424999999999999</v>
      </c>
      <c r="L7" s="12"/>
      <c r="M7" s="9" t="s">
        <v>19</v>
      </c>
      <c r="N7" s="10">
        <v>525000</v>
      </c>
      <c r="O7" s="9" t="s">
        <v>17</v>
      </c>
    </row>
    <row r="8" spans="2:15" ht="17" x14ac:dyDescent="0.2">
      <c r="B8" s="6" t="s">
        <v>6</v>
      </c>
      <c r="C8" s="5">
        <v>90</v>
      </c>
      <c r="D8" s="8">
        <v>3673</v>
      </c>
      <c r="E8" s="8">
        <v>3498</v>
      </c>
      <c r="F8" s="6" t="s">
        <v>14</v>
      </c>
      <c r="G8" s="6">
        <v>13</v>
      </c>
      <c r="H8" s="6">
        <v>0</v>
      </c>
      <c r="I8" s="8">
        <v>7238</v>
      </c>
      <c r="J8">
        <f t="shared" si="0"/>
        <v>3.0158333333333331</v>
      </c>
      <c r="L8" s="12"/>
      <c r="M8" s="9" t="s">
        <v>20</v>
      </c>
      <c r="N8" s="10">
        <v>283500</v>
      </c>
      <c r="O8" s="9" t="s">
        <v>17</v>
      </c>
    </row>
    <row r="9" spans="2:15" ht="17" x14ac:dyDescent="0.2">
      <c r="B9" s="6" t="s">
        <v>7</v>
      </c>
      <c r="C9" s="5">
        <v>91</v>
      </c>
      <c r="D9" s="8">
        <v>3501</v>
      </c>
      <c r="E9" s="8">
        <v>4109</v>
      </c>
      <c r="F9" s="6">
        <v>73</v>
      </c>
      <c r="G9" s="6" t="s">
        <v>14</v>
      </c>
      <c r="H9" s="6">
        <v>0</v>
      </c>
      <c r="I9" s="8">
        <v>77774</v>
      </c>
      <c r="J9">
        <f t="shared" si="0"/>
        <v>32.405833333333334</v>
      </c>
      <c r="L9" s="12"/>
      <c r="M9" s="9" t="s">
        <v>21</v>
      </c>
      <c r="N9" s="10">
        <v>1875000</v>
      </c>
      <c r="O9" s="9" t="s">
        <v>17</v>
      </c>
    </row>
    <row r="10" spans="2:15" ht="17" x14ac:dyDescent="0.2">
      <c r="B10" s="6" t="s">
        <v>22</v>
      </c>
      <c r="C10" s="5">
        <v>39</v>
      </c>
      <c r="D10" s="6">
        <v>661</v>
      </c>
      <c r="E10" s="8">
        <v>2174</v>
      </c>
      <c r="F10" s="6">
        <v>0</v>
      </c>
      <c r="G10" s="6">
        <v>0</v>
      </c>
      <c r="H10" s="6" t="s">
        <v>14</v>
      </c>
      <c r="I10" s="8">
        <v>2874</v>
      </c>
      <c r="J10">
        <f t="shared" si="0"/>
        <v>1.1975</v>
      </c>
      <c r="L10" s="12"/>
      <c r="M10" s="9" t="s">
        <v>23</v>
      </c>
      <c r="N10" s="10">
        <v>1137500</v>
      </c>
      <c r="O10" s="9" t="s">
        <v>17</v>
      </c>
    </row>
    <row r="11" spans="2:15" ht="17" x14ac:dyDescent="0.2">
      <c r="B11" s="6" t="s">
        <v>2</v>
      </c>
      <c r="C11" s="11">
        <v>7996</v>
      </c>
      <c r="D11" s="8">
        <v>16929</v>
      </c>
      <c r="E11" s="8">
        <v>12755</v>
      </c>
      <c r="F11" s="8">
        <v>8047</v>
      </c>
      <c r="G11" s="8">
        <v>7712</v>
      </c>
      <c r="H11" s="8">
        <v>2665</v>
      </c>
      <c r="I11" s="8">
        <v>56104</v>
      </c>
      <c r="L11" s="12"/>
      <c r="M11" s="12"/>
      <c r="N11" s="12"/>
      <c r="O11" s="12"/>
    </row>
    <row r="12" spans="2:15" x14ac:dyDescent="0.2">
      <c r="L12" s="9" t="s">
        <v>24</v>
      </c>
      <c r="M12" s="9" t="s">
        <v>25</v>
      </c>
      <c r="N12" s="10">
        <v>118000</v>
      </c>
      <c r="O12" s="9" t="s">
        <v>17</v>
      </c>
    </row>
    <row r="13" spans="2:15" x14ac:dyDescent="0.2">
      <c r="B13" s="13" t="s">
        <v>26</v>
      </c>
      <c r="C13" s="14"/>
      <c r="D13" s="15"/>
      <c r="E13" s="15"/>
      <c r="L13" s="12"/>
      <c r="M13" s="9" t="s">
        <v>27</v>
      </c>
      <c r="N13" s="10">
        <v>215625</v>
      </c>
      <c r="O13" s="9" t="s">
        <v>17</v>
      </c>
    </row>
    <row r="14" spans="2:15" ht="17" x14ac:dyDescent="0.2">
      <c r="B14" s="4" t="s">
        <v>2</v>
      </c>
      <c r="C14" s="5" t="s">
        <v>3</v>
      </c>
      <c r="D14" s="6" t="s">
        <v>4</v>
      </c>
      <c r="E14" s="6" t="s">
        <v>5</v>
      </c>
      <c r="F14" s="6" t="s">
        <v>6</v>
      </c>
      <c r="G14" s="6" t="s">
        <v>7</v>
      </c>
      <c r="H14" s="6" t="s">
        <v>22</v>
      </c>
      <c r="L14" s="12"/>
      <c r="M14" s="12"/>
      <c r="N14" s="12"/>
      <c r="O14" s="12"/>
    </row>
    <row r="15" spans="2:15" ht="17" x14ac:dyDescent="0.2">
      <c r="B15" s="6" t="s">
        <v>3</v>
      </c>
      <c r="C15" s="5" t="s">
        <v>14</v>
      </c>
      <c r="D15" s="8">
        <v>1064</v>
      </c>
      <c r="E15" s="8">
        <v>1488</v>
      </c>
      <c r="F15" s="6">
        <v>1430</v>
      </c>
      <c r="G15" s="6">
        <v>1708</v>
      </c>
      <c r="H15" s="6">
        <v>2807</v>
      </c>
      <c r="L15" s="9" t="s">
        <v>28</v>
      </c>
      <c r="M15" s="9" t="s">
        <v>29</v>
      </c>
      <c r="N15" s="10">
        <v>18000</v>
      </c>
      <c r="O15" s="9" t="s">
        <v>17</v>
      </c>
    </row>
    <row r="16" spans="2:15" ht="17" x14ac:dyDescent="0.2">
      <c r="B16" s="6" t="s">
        <v>4</v>
      </c>
      <c r="C16" s="11">
        <v>1064</v>
      </c>
      <c r="D16" s="6" t="s">
        <v>14</v>
      </c>
      <c r="E16" s="8">
        <v>438</v>
      </c>
      <c r="F16" s="8">
        <v>614</v>
      </c>
      <c r="G16" s="8">
        <v>806</v>
      </c>
      <c r="H16" s="6">
        <v>2102</v>
      </c>
      <c r="L16" s="12"/>
      <c r="M16" s="9" t="s">
        <v>30</v>
      </c>
      <c r="N16" s="10">
        <v>42000</v>
      </c>
      <c r="O16" s="9" t="s">
        <v>17</v>
      </c>
    </row>
    <row r="17" spans="2:15" ht="17" x14ac:dyDescent="0.2">
      <c r="B17" s="6" t="s">
        <v>5</v>
      </c>
      <c r="C17" s="11">
        <v>1488</v>
      </c>
      <c r="D17" s="8">
        <v>438</v>
      </c>
      <c r="E17" s="6" t="s">
        <v>14</v>
      </c>
      <c r="F17" s="8">
        <v>328</v>
      </c>
      <c r="G17" s="8">
        <v>520</v>
      </c>
      <c r="H17" s="8">
        <v>1816</v>
      </c>
      <c r="L17" s="12"/>
      <c r="M17" s="9" t="s">
        <v>31</v>
      </c>
      <c r="N17" s="10">
        <v>52500</v>
      </c>
      <c r="O17" s="9" t="s">
        <v>17</v>
      </c>
    </row>
    <row r="18" spans="2:15" ht="17" x14ac:dyDescent="0.2">
      <c r="B18" s="6" t="s">
        <v>6</v>
      </c>
      <c r="C18" s="5">
        <v>1430</v>
      </c>
      <c r="D18" s="8">
        <v>614</v>
      </c>
      <c r="E18" s="8">
        <v>328</v>
      </c>
      <c r="F18" s="6" t="s">
        <v>14</v>
      </c>
      <c r="G18" s="6">
        <v>353</v>
      </c>
      <c r="H18" s="6">
        <v>1577</v>
      </c>
      <c r="L18" s="12"/>
      <c r="M18" s="12"/>
      <c r="N18" s="12"/>
      <c r="O18" s="12"/>
    </row>
    <row r="19" spans="2:15" ht="17" x14ac:dyDescent="0.2">
      <c r="B19" s="6" t="s">
        <v>7</v>
      </c>
      <c r="C19" s="5">
        <v>1708</v>
      </c>
      <c r="D19" s="8">
        <v>806</v>
      </c>
      <c r="E19" s="8">
        <v>520</v>
      </c>
      <c r="F19" s="6">
        <v>353</v>
      </c>
      <c r="G19" s="6" t="s">
        <v>14</v>
      </c>
      <c r="H19" s="6">
        <v>1375</v>
      </c>
      <c r="L19" s="9" t="s">
        <v>32</v>
      </c>
      <c r="M19" s="9" t="s">
        <v>33</v>
      </c>
      <c r="N19" s="10">
        <v>8750</v>
      </c>
      <c r="O19" s="9" t="s">
        <v>34</v>
      </c>
    </row>
    <row r="20" spans="2:15" ht="17" x14ac:dyDescent="0.2">
      <c r="B20" s="6" t="s">
        <v>22</v>
      </c>
      <c r="C20" s="5">
        <v>2807</v>
      </c>
      <c r="D20" s="6">
        <v>2102</v>
      </c>
      <c r="E20" s="8">
        <v>1816</v>
      </c>
      <c r="F20" s="6">
        <v>1577</v>
      </c>
      <c r="G20" s="6">
        <v>1375</v>
      </c>
      <c r="H20" s="6" t="s">
        <v>14</v>
      </c>
      <c r="L20" s="12"/>
      <c r="M20" s="9" t="s">
        <v>35</v>
      </c>
      <c r="N20" s="10">
        <v>17500</v>
      </c>
      <c r="O20" s="9" t="s">
        <v>34</v>
      </c>
    </row>
    <row r="21" spans="2:15" x14ac:dyDescent="0.2">
      <c r="B21" s="16"/>
      <c r="L21" s="12"/>
      <c r="M21" s="9" t="s">
        <v>31</v>
      </c>
      <c r="N21" s="10">
        <v>41000</v>
      </c>
      <c r="O21" s="9" t="s">
        <v>34</v>
      </c>
    </row>
    <row r="22" spans="2:15" x14ac:dyDescent="0.2">
      <c r="B22" s="13" t="s">
        <v>36</v>
      </c>
      <c r="C22" s="14"/>
      <c r="D22" s="15"/>
      <c r="E22" s="15"/>
      <c r="F22" s="15"/>
      <c r="L22" s="12"/>
      <c r="M22" s="9" t="s">
        <v>37</v>
      </c>
      <c r="N22" s="10">
        <v>41000</v>
      </c>
      <c r="O22" s="9" t="s">
        <v>34</v>
      </c>
    </row>
    <row r="23" spans="2:15" ht="17" x14ac:dyDescent="0.2">
      <c r="B23" s="4"/>
      <c r="C23" s="5" t="s">
        <v>3</v>
      </c>
      <c r="D23" s="6" t="s">
        <v>4</v>
      </c>
      <c r="E23" s="6" t="s">
        <v>5</v>
      </c>
      <c r="F23" s="6" t="s">
        <v>6</v>
      </c>
      <c r="G23" s="6" t="s">
        <v>7</v>
      </c>
      <c r="H23" s="6" t="s">
        <v>22</v>
      </c>
      <c r="L23" s="12"/>
      <c r="M23" s="9" t="s">
        <v>38</v>
      </c>
      <c r="N23" s="10">
        <v>26600</v>
      </c>
      <c r="O23" s="9" t="s">
        <v>34</v>
      </c>
    </row>
    <row r="24" spans="2:15" ht="17" x14ac:dyDescent="0.2">
      <c r="B24" s="6" t="s">
        <v>3</v>
      </c>
      <c r="C24" s="5" t="s">
        <v>14</v>
      </c>
      <c r="D24" s="11">
        <v>4.4000000000000004</v>
      </c>
      <c r="E24" s="11">
        <v>6.2</v>
      </c>
      <c r="F24" s="5">
        <v>6</v>
      </c>
      <c r="G24" s="5">
        <v>7.1</v>
      </c>
      <c r="H24" s="5">
        <v>11.7</v>
      </c>
      <c r="L24" s="12"/>
      <c r="M24" s="9" t="s">
        <v>39</v>
      </c>
      <c r="N24" s="10">
        <v>26600</v>
      </c>
      <c r="O24" s="9" t="s">
        <v>34</v>
      </c>
    </row>
    <row r="25" spans="2:15" ht="17" x14ac:dyDescent="0.2">
      <c r="B25" s="6" t="s">
        <v>4</v>
      </c>
      <c r="C25" s="11">
        <v>4.4000000000000004</v>
      </c>
      <c r="D25" s="5" t="s">
        <v>14</v>
      </c>
      <c r="E25" s="11">
        <v>1.8</v>
      </c>
      <c r="F25" s="11">
        <v>2.6</v>
      </c>
      <c r="G25" s="11">
        <v>3.4</v>
      </c>
      <c r="H25" s="5">
        <v>8.8000000000000007</v>
      </c>
      <c r="L25" s="12"/>
      <c r="M25" s="12"/>
      <c r="N25" s="12"/>
      <c r="O25" s="12"/>
    </row>
    <row r="26" spans="2:15" ht="17" x14ac:dyDescent="0.2">
      <c r="B26" s="6" t="s">
        <v>5</v>
      </c>
      <c r="C26" s="11">
        <v>6.2</v>
      </c>
      <c r="D26" s="11">
        <v>1.8</v>
      </c>
      <c r="E26" s="5" t="s">
        <v>14</v>
      </c>
      <c r="F26" s="11">
        <v>1.4</v>
      </c>
      <c r="G26" s="11">
        <v>2.2000000000000002</v>
      </c>
      <c r="H26" s="11">
        <v>7.6</v>
      </c>
      <c r="L26" s="9" t="s">
        <v>40</v>
      </c>
      <c r="M26" s="9" t="s">
        <v>41</v>
      </c>
      <c r="N26" s="10">
        <v>287500</v>
      </c>
      <c r="O26" s="9" t="s">
        <v>17</v>
      </c>
    </row>
    <row r="27" spans="2:15" ht="17" x14ac:dyDescent="0.2">
      <c r="B27" s="6" t="s">
        <v>6</v>
      </c>
      <c r="C27" s="5">
        <v>6</v>
      </c>
      <c r="D27" s="11">
        <v>2.6</v>
      </c>
      <c r="E27" s="11">
        <v>1.4</v>
      </c>
      <c r="F27" s="5" t="s">
        <v>14</v>
      </c>
      <c r="G27" s="5">
        <v>1.5</v>
      </c>
      <c r="H27" s="5">
        <v>6.6</v>
      </c>
      <c r="L27" s="12"/>
      <c r="M27" s="9" t="s">
        <v>42</v>
      </c>
      <c r="N27" s="10">
        <v>169000</v>
      </c>
      <c r="O27" s="9" t="s">
        <v>17</v>
      </c>
    </row>
    <row r="28" spans="2:15" ht="17" x14ac:dyDescent="0.2">
      <c r="B28" s="6" t="s">
        <v>7</v>
      </c>
      <c r="C28" s="5">
        <v>7.1</v>
      </c>
      <c r="D28" s="11">
        <v>3.4</v>
      </c>
      <c r="E28" s="11">
        <v>2.2000000000000002</v>
      </c>
      <c r="F28" s="5">
        <v>1.5</v>
      </c>
      <c r="G28" s="5" t="s">
        <v>14</v>
      </c>
      <c r="H28" s="5">
        <v>5.7</v>
      </c>
    </row>
    <row r="29" spans="2:15" ht="17" x14ac:dyDescent="0.2">
      <c r="B29" s="6" t="s">
        <v>22</v>
      </c>
      <c r="C29" s="5">
        <v>11.7</v>
      </c>
      <c r="D29" s="5">
        <v>8.8000000000000007</v>
      </c>
      <c r="E29" s="11">
        <v>7.6</v>
      </c>
      <c r="F29" s="5">
        <v>6.6</v>
      </c>
      <c r="G29" s="5">
        <v>5.7</v>
      </c>
      <c r="H29" s="5" t="s">
        <v>14</v>
      </c>
    </row>
    <row r="31" spans="2:15" hidden="1" x14ac:dyDescent="0.2">
      <c r="B31" s="17" t="s">
        <v>43</v>
      </c>
    </row>
    <row r="32" spans="2:15" ht="17" hidden="1" x14ac:dyDescent="0.2">
      <c r="B32" s="5" t="s">
        <v>3</v>
      </c>
      <c r="C32" s="5" t="s">
        <v>4</v>
      </c>
      <c r="D32" s="5" t="s">
        <v>5</v>
      </c>
      <c r="E32" s="5" t="s">
        <v>6</v>
      </c>
      <c r="F32" s="5" t="s">
        <v>7</v>
      </c>
      <c r="G32" s="5" t="s">
        <v>22</v>
      </c>
    </row>
    <row r="33" spans="2:9" hidden="1" x14ac:dyDescent="0.2">
      <c r="B33" s="6">
        <v>6325406</v>
      </c>
      <c r="C33" s="5">
        <v>1049355</v>
      </c>
      <c r="D33" s="11">
        <v>356.80799999999999</v>
      </c>
      <c r="E33" s="11">
        <v>1156768</v>
      </c>
      <c r="F33" s="5">
        <v>429006</v>
      </c>
      <c r="G33" s="5">
        <v>148249</v>
      </c>
    </row>
    <row r="34" spans="2:9" hidden="1" x14ac:dyDescent="0.2"/>
    <row r="35" spans="2:9" hidden="1" x14ac:dyDescent="0.2">
      <c r="B35" s="18">
        <f>B33/12</f>
        <v>527117.16666666663</v>
      </c>
      <c r="C35" s="18">
        <f t="shared" ref="C35:G35" si="1">C33/12</f>
        <v>87446.25</v>
      </c>
      <c r="D35" s="18">
        <f t="shared" si="1"/>
        <v>29.733999999999998</v>
      </c>
      <c r="E35" s="18">
        <f t="shared" si="1"/>
        <v>96397.333333333328</v>
      </c>
      <c r="F35" s="18">
        <f t="shared" si="1"/>
        <v>35750.5</v>
      </c>
      <c r="G35" s="18">
        <f t="shared" si="1"/>
        <v>12354.083333333334</v>
      </c>
    </row>
    <row r="36" spans="2:9" hidden="1" x14ac:dyDescent="0.2"/>
    <row r="37" spans="2:9" hidden="1" x14ac:dyDescent="0.2"/>
    <row r="38" spans="2:9" hidden="1" x14ac:dyDescent="0.2">
      <c r="B38" t="s">
        <v>44</v>
      </c>
    </row>
    <row r="39" spans="2:9" hidden="1" x14ac:dyDescent="0.2"/>
    <row r="40" spans="2:9" ht="17" hidden="1" x14ac:dyDescent="0.2">
      <c r="B40" s="4" t="s">
        <v>2</v>
      </c>
      <c r="C40" s="5" t="s">
        <v>3</v>
      </c>
      <c r="D40" s="6" t="s">
        <v>4</v>
      </c>
      <c r="E40" s="6" t="s">
        <v>5</v>
      </c>
      <c r="F40" s="6" t="s">
        <v>6</v>
      </c>
      <c r="G40" s="6" t="s">
        <v>7</v>
      </c>
      <c r="H40" s="6" t="s">
        <v>8</v>
      </c>
      <c r="I40" s="6"/>
    </row>
    <row r="41" spans="2:9" ht="17" hidden="1" x14ac:dyDescent="0.2">
      <c r="B41" s="6" t="s">
        <v>3</v>
      </c>
      <c r="C41" s="5" t="s">
        <v>14</v>
      </c>
      <c r="D41" s="8">
        <v>30</v>
      </c>
      <c r="E41" s="8">
        <v>25</v>
      </c>
      <c r="F41" s="6">
        <v>20</v>
      </c>
      <c r="G41" s="6">
        <v>15</v>
      </c>
      <c r="H41" s="6">
        <v>10</v>
      </c>
      <c r="I41" s="8"/>
    </row>
    <row r="42" spans="2:9" ht="17" hidden="1" x14ac:dyDescent="0.2">
      <c r="B42" s="6" t="s">
        <v>4</v>
      </c>
      <c r="C42" s="11">
        <v>50</v>
      </c>
      <c r="D42" s="6" t="s">
        <v>14</v>
      </c>
      <c r="E42" s="8">
        <v>35</v>
      </c>
      <c r="F42" s="8">
        <v>30</v>
      </c>
      <c r="G42" s="8">
        <v>20</v>
      </c>
      <c r="H42" s="6">
        <v>15</v>
      </c>
      <c r="I42" s="8"/>
    </row>
    <row r="43" spans="2:9" ht="17" hidden="1" x14ac:dyDescent="0.2">
      <c r="B43" s="6" t="s">
        <v>5</v>
      </c>
      <c r="C43" s="11">
        <v>40</v>
      </c>
      <c r="D43" s="8">
        <v>35</v>
      </c>
      <c r="E43" s="6" t="s">
        <v>14</v>
      </c>
      <c r="F43" s="8">
        <v>30</v>
      </c>
      <c r="G43" s="8">
        <v>20</v>
      </c>
      <c r="H43" s="8">
        <v>15</v>
      </c>
      <c r="I43" s="8"/>
    </row>
    <row r="44" spans="2:9" ht="17" hidden="1" x14ac:dyDescent="0.2">
      <c r="B44" s="6" t="s">
        <v>6</v>
      </c>
      <c r="C44" s="5">
        <v>20</v>
      </c>
      <c r="D44" s="8">
        <v>30</v>
      </c>
      <c r="E44" s="8">
        <v>25</v>
      </c>
      <c r="F44" s="6" t="s">
        <v>14</v>
      </c>
      <c r="G44" s="6">
        <v>15</v>
      </c>
      <c r="H44" s="6">
        <v>10</v>
      </c>
      <c r="I44" s="8"/>
    </row>
    <row r="45" spans="2:9" ht="17" hidden="1" x14ac:dyDescent="0.2">
      <c r="B45" s="6" t="s">
        <v>7</v>
      </c>
      <c r="C45" s="5">
        <v>20</v>
      </c>
      <c r="D45" s="8">
        <v>25</v>
      </c>
      <c r="E45" s="8">
        <v>20</v>
      </c>
      <c r="F45" s="6">
        <v>15</v>
      </c>
      <c r="G45" s="6" t="s">
        <v>14</v>
      </c>
      <c r="H45" s="6">
        <v>0</v>
      </c>
      <c r="I45" s="8"/>
    </row>
    <row r="46" spans="2:9" ht="17" hidden="1" x14ac:dyDescent="0.2">
      <c r="B46" s="6" t="s">
        <v>22</v>
      </c>
      <c r="C46" s="5">
        <v>15</v>
      </c>
      <c r="D46" s="6">
        <v>20</v>
      </c>
      <c r="E46" s="8">
        <v>15</v>
      </c>
      <c r="F46" s="6">
        <v>0</v>
      </c>
      <c r="G46" s="6">
        <v>0</v>
      </c>
      <c r="H46" s="6" t="s">
        <v>14</v>
      </c>
      <c r="I46" s="8"/>
    </row>
    <row r="47" spans="2:9" hidden="1" x14ac:dyDescent="0.2"/>
    <row r="48" spans="2:9" ht="17" hidden="1" x14ac:dyDescent="0.2">
      <c r="B48" s="19" t="s">
        <v>45</v>
      </c>
    </row>
    <row r="49" spans="2:8" ht="17" hidden="1" x14ac:dyDescent="0.2">
      <c r="B49" s="4" t="s">
        <v>2</v>
      </c>
      <c r="C49" s="5" t="s">
        <v>3</v>
      </c>
      <c r="D49" s="6" t="s">
        <v>4</v>
      </c>
      <c r="E49" s="6" t="s">
        <v>5</v>
      </c>
      <c r="F49" s="6" t="s">
        <v>6</v>
      </c>
      <c r="G49" s="6" t="s">
        <v>7</v>
      </c>
      <c r="H49" s="6" t="s">
        <v>8</v>
      </c>
    </row>
    <row r="50" spans="2:8" ht="17" hidden="1" x14ac:dyDescent="0.2">
      <c r="B50" s="6" t="s">
        <v>3</v>
      </c>
      <c r="C50" s="5" t="s">
        <v>14</v>
      </c>
      <c r="D50" s="8">
        <v>60</v>
      </c>
      <c r="E50" s="8">
        <v>45</v>
      </c>
      <c r="F50" s="6">
        <v>35</v>
      </c>
      <c r="G50" s="6">
        <v>25</v>
      </c>
      <c r="H50" s="6">
        <v>20</v>
      </c>
    </row>
    <row r="51" spans="2:8" ht="17" hidden="1" x14ac:dyDescent="0.2">
      <c r="B51" s="6" t="s">
        <v>4</v>
      </c>
      <c r="C51" s="11">
        <v>100</v>
      </c>
      <c r="D51" s="6" t="s">
        <v>14</v>
      </c>
      <c r="E51" s="8">
        <v>60</v>
      </c>
      <c r="F51" s="8">
        <v>55</v>
      </c>
      <c r="G51" s="8">
        <v>40</v>
      </c>
      <c r="H51" s="6">
        <v>30</v>
      </c>
    </row>
    <row r="52" spans="2:8" ht="17" hidden="1" x14ac:dyDescent="0.2">
      <c r="B52" s="6" t="s">
        <v>5</v>
      </c>
      <c r="C52" s="11">
        <v>70</v>
      </c>
      <c r="D52" s="8">
        <v>60</v>
      </c>
      <c r="E52" s="6" t="s">
        <v>14</v>
      </c>
      <c r="F52" s="8">
        <v>50</v>
      </c>
      <c r="G52" s="8">
        <v>35</v>
      </c>
      <c r="H52" s="8">
        <v>25</v>
      </c>
    </row>
    <row r="53" spans="2:8" ht="17" hidden="1" x14ac:dyDescent="0.2">
      <c r="B53" s="6" t="s">
        <v>6</v>
      </c>
      <c r="C53" s="5">
        <v>40</v>
      </c>
      <c r="D53" s="8">
        <v>55</v>
      </c>
      <c r="E53" s="8">
        <v>45</v>
      </c>
      <c r="F53" s="6" t="s">
        <v>14</v>
      </c>
      <c r="G53" s="6">
        <v>30</v>
      </c>
      <c r="H53" s="6">
        <v>20</v>
      </c>
    </row>
    <row r="54" spans="2:8" ht="17" hidden="1" x14ac:dyDescent="0.2">
      <c r="B54" s="6" t="s">
        <v>7</v>
      </c>
      <c r="C54" s="5">
        <v>40</v>
      </c>
      <c r="D54" s="8">
        <v>50</v>
      </c>
      <c r="E54" s="8">
        <v>40</v>
      </c>
      <c r="F54" s="6">
        <v>30</v>
      </c>
      <c r="G54" s="6" t="s">
        <v>14</v>
      </c>
      <c r="H54" s="6">
        <v>0</v>
      </c>
    </row>
    <row r="55" spans="2:8" ht="17" hidden="1" x14ac:dyDescent="0.2">
      <c r="B55" s="6" t="s">
        <v>22</v>
      </c>
      <c r="C55" s="5">
        <v>30</v>
      </c>
      <c r="D55" s="6">
        <v>40</v>
      </c>
      <c r="E55" s="8">
        <v>25</v>
      </c>
      <c r="F55" s="6">
        <v>20</v>
      </c>
      <c r="G55" s="6">
        <v>15</v>
      </c>
      <c r="H55" s="6" t="s">
        <v>14</v>
      </c>
    </row>
    <row r="56" spans="2:8" hidden="1" x14ac:dyDescent="0.2"/>
    <row r="57" spans="2:8" ht="17" hidden="1" x14ac:dyDescent="0.2">
      <c r="B57" s="19" t="s">
        <v>46</v>
      </c>
    </row>
    <row r="58" spans="2:8" ht="17" hidden="1" x14ac:dyDescent="0.2">
      <c r="B58" s="4" t="s">
        <v>2</v>
      </c>
      <c r="C58" s="5" t="s">
        <v>3</v>
      </c>
      <c r="D58" s="6" t="s">
        <v>4</v>
      </c>
      <c r="E58" s="6" t="s">
        <v>5</v>
      </c>
      <c r="F58" s="6" t="s">
        <v>6</v>
      </c>
      <c r="G58" s="6" t="s">
        <v>7</v>
      </c>
      <c r="H58" s="6" t="s">
        <v>8</v>
      </c>
    </row>
    <row r="59" spans="2:8" ht="17" hidden="1" x14ac:dyDescent="0.2">
      <c r="B59" s="6" t="s">
        <v>3</v>
      </c>
      <c r="C59" s="5" t="s">
        <v>14</v>
      </c>
      <c r="D59" s="8">
        <f>D41+D50</f>
        <v>90</v>
      </c>
      <c r="E59" s="8">
        <f t="shared" ref="E59:H62" si="2">E41+E50</f>
        <v>70</v>
      </c>
      <c r="F59" s="8">
        <f t="shared" si="2"/>
        <v>55</v>
      </c>
      <c r="G59" s="8">
        <f t="shared" si="2"/>
        <v>40</v>
      </c>
      <c r="H59" s="8">
        <f t="shared" si="2"/>
        <v>30</v>
      </c>
    </row>
    <row r="60" spans="2:8" ht="17" hidden="1" x14ac:dyDescent="0.2">
      <c r="B60" s="6" t="s">
        <v>4</v>
      </c>
      <c r="C60" s="8">
        <f>C42+C51</f>
        <v>150</v>
      </c>
      <c r="D60" s="6" t="s">
        <v>14</v>
      </c>
      <c r="E60" s="8">
        <f t="shared" si="2"/>
        <v>95</v>
      </c>
      <c r="F60" s="8">
        <f t="shared" si="2"/>
        <v>85</v>
      </c>
      <c r="G60" s="8">
        <f t="shared" si="2"/>
        <v>60</v>
      </c>
      <c r="H60" s="8">
        <f t="shared" si="2"/>
        <v>45</v>
      </c>
    </row>
    <row r="61" spans="2:8" ht="17" hidden="1" x14ac:dyDescent="0.2">
      <c r="B61" s="6" t="s">
        <v>5</v>
      </c>
      <c r="C61" s="8">
        <f>C43+C52</f>
        <v>110</v>
      </c>
      <c r="D61" s="8">
        <f t="shared" ref="D61:F64" si="3">D43+D52</f>
        <v>95</v>
      </c>
      <c r="E61" s="6" t="s">
        <v>14</v>
      </c>
      <c r="F61" s="8">
        <f t="shared" si="2"/>
        <v>80</v>
      </c>
      <c r="G61" s="8">
        <f t="shared" si="2"/>
        <v>55</v>
      </c>
      <c r="H61" s="8">
        <f t="shared" si="2"/>
        <v>40</v>
      </c>
    </row>
    <row r="62" spans="2:8" ht="17" hidden="1" x14ac:dyDescent="0.2">
      <c r="B62" s="6" t="s">
        <v>6</v>
      </c>
      <c r="C62" s="8">
        <f t="shared" ref="C62:C63" si="4">C44+C53</f>
        <v>60</v>
      </c>
      <c r="D62" s="8">
        <f t="shared" si="3"/>
        <v>85</v>
      </c>
      <c r="E62" s="8">
        <f t="shared" si="3"/>
        <v>70</v>
      </c>
      <c r="F62" s="6" t="s">
        <v>14</v>
      </c>
      <c r="G62" s="8">
        <f t="shared" si="2"/>
        <v>45</v>
      </c>
      <c r="H62" s="8">
        <f t="shared" si="2"/>
        <v>30</v>
      </c>
    </row>
    <row r="63" spans="2:8" ht="17" hidden="1" x14ac:dyDescent="0.2">
      <c r="B63" s="6" t="s">
        <v>7</v>
      </c>
      <c r="C63" s="8">
        <f t="shared" si="4"/>
        <v>60</v>
      </c>
      <c r="D63" s="8">
        <f t="shared" si="3"/>
        <v>75</v>
      </c>
      <c r="E63" s="8">
        <f t="shared" si="3"/>
        <v>60</v>
      </c>
      <c r="F63" s="8">
        <f t="shared" si="3"/>
        <v>45</v>
      </c>
      <c r="G63" s="6" t="s">
        <v>14</v>
      </c>
      <c r="H63" s="6">
        <v>0</v>
      </c>
    </row>
    <row r="64" spans="2:8" ht="17" hidden="1" x14ac:dyDescent="0.2">
      <c r="B64" s="6" t="s">
        <v>22</v>
      </c>
      <c r="C64" s="8">
        <f>C46+C55</f>
        <v>45</v>
      </c>
      <c r="D64" s="8">
        <f t="shared" si="3"/>
        <v>60</v>
      </c>
      <c r="E64" s="8">
        <f t="shared" si="3"/>
        <v>40</v>
      </c>
      <c r="F64" s="8">
        <f t="shared" si="3"/>
        <v>20</v>
      </c>
      <c r="G64" s="8">
        <f>G46+G55</f>
        <v>15</v>
      </c>
      <c r="H64" s="6" t="s">
        <v>14</v>
      </c>
    </row>
    <row r="65" spans="2:16" ht="17" thickBot="1" x14ac:dyDescent="0.25"/>
    <row r="66" spans="2:16" ht="69" thickBot="1" x14ac:dyDescent="0.25">
      <c r="L66" s="20"/>
      <c r="M66" s="21" t="s">
        <v>47</v>
      </c>
      <c r="N66" s="21" t="s">
        <v>48</v>
      </c>
      <c r="O66" s="21" t="s">
        <v>49</v>
      </c>
      <c r="P66" s="21" t="s">
        <v>50</v>
      </c>
    </row>
    <row r="67" spans="2:16" ht="18" thickBot="1" x14ac:dyDescent="0.25">
      <c r="B67" s="22" t="s">
        <v>51</v>
      </c>
      <c r="C67" s="14"/>
      <c r="D67" s="15"/>
      <c r="E67" s="15"/>
      <c r="F67" s="15"/>
      <c r="L67" s="23" t="s">
        <v>52</v>
      </c>
      <c r="M67" s="23" t="s">
        <v>53</v>
      </c>
      <c r="N67" s="24" t="s">
        <v>54</v>
      </c>
      <c r="O67" s="23" t="s">
        <v>55</v>
      </c>
      <c r="P67" s="24" t="s">
        <v>56</v>
      </c>
    </row>
    <row r="68" spans="2:16" ht="18" thickBot="1" x14ac:dyDescent="0.25">
      <c r="B68" s="4" t="s">
        <v>2</v>
      </c>
      <c r="C68" s="5" t="s">
        <v>3</v>
      </c>
      <c r="D68" s="6" t="s">
        <v>4</v>
      </c>
      <c r="E68" s="6" t="s">
        <v>5</v>
      </c>
      <c r="F68" s="6" t="s">
        <v>6</v>
      </c>
      <c r="G68" s="6" t="s">
        <v>7</v>
      </c>
      <c r="H68" s="6" t="s">
        <v>8</v>
      </c>
      <c r="L68" s="23" t="s">
        <v>57</v>
      </c>
      <c r="M68" s="23" t="s">
        <v>58</v>
      </c>
      <c r="N68" s="24" t="s">
        <v>59</v>
      </c>
      <c r="O68" s="23" t="s">
        <v>60</v>
      </c>
      <c r="P68" s="24" t="s">
        <v>61</v>
      </c>
    </row>
    <row r="69" spans="2:16" ht="17" x14ac:dyDescent="0.2">
      <c r="B69" s="6" t="s">
        <v>3</v>
      </c>
      <c r="C69" s="25" t="s">
        <v>14</v>
      </c>
      <c r="D69" s="8">
        <f>(D41/D59)*D5</f>
        <v>2231</v>
      </c>
      <c r="E69" s="8">
        <f t="shared" ref="E69:H72" si="5">(E41/E59)*E5</f>
        <v>377.85714285714289</v>
      </c>
      <c r="F69" s="8">
        <f t="shared" si="5"/>
        <v>31.636363636363637</v>
      </c>
      <c r="G69" s="8">
        <f t="shared" si="5"/>
        <v>30.375</v>
      </c>
      <c r="H69" s="8">
        <f t="shared" si="5"/>
        <v>9</v>
      </c>
    </row>
    <row r="70" spans="2:16" ht="17" x14ac:dyDescent="0.2">
      <c r="B70" s="6" t="s">
        <v>4</v>
      </c>
      <c r="C70" s="8">
        <f>(C42/C60)*C6</f>
        <v>2246.6666666666665</v>
      </c>
      <c r="D70" s="25" t="s">
        <v>14</v>
      </c>
      <c r="E70" s="8">
        <f t="shared" si="5"/>
        <v>705.8947368421052</v>
      </c>
      <c r="F70" s="8">
        <f t="shared" si="5"/>
        <v>1444.2352941176471</v>
      </c>
      <c r="G70" s="8">
        <f t="shared" si="5"/>
        <v>932.66666666666663</v>
      </c>
      <c r="H70" s="8">
        <f t="shared" si="5"/>
        <v>154.66666666666666</v>
      </c>
    </row>
    <row r="71" spans="2:16" ht="17" x14ac:dyDescent="0.2">
      <c r="B71" s="6" t="s">
        <v>5</v>
      </c>
      <c r="C71" s="8">
        <f t="shared" ref="C71:F74" si="6">(C43/C61)*C7</f>
        <v>376.72727272727275</v>
      </c>
      <c r="D71" s="8">
        <f>(D43/D61)*D7</f>
        <v>911.10526315789468</v>
      </c>
      <c r="E71" s="25" t="s">
        <v>14</v>
      </c>
      <c r="F71" s="8">
        <f t="shared" si="5"/>
        <v>1423.125</v>
      </c>
      <c r="G71" s="8">
        <f t="shared" si="5"/>
        <v>1752.7272727272727</v>
      </c>
      <c r="H71" s="8">
        <f t="shared" si="5"/>
        <v>815.25</v>
      </c>
    </row>
    <row r="72" spans="2:16" ht="17" x14ac:dyDescent="0.2">
      <c r="B72" s="6" t="s">
        <v>6</v>
      </c>
      <c r="C72" s="8">
        <f t="shared" si="6"/>
        <v>30</v>
      </c>
      <c r="D72" s="8">
        <f t="shared" si="6"/>
        <v>1296.3529411764707</v>
      </c>
      <c r="E72" s="8">
        <f t="shared" si="6"/>
        <v>1249.2857142857142</v>
      </c>
      <c r="F72" s="25" t="s">
        <v>14</v>
      </c>
      <c r="G72" s="8">
        <f t="shared" si="5"/>
        <v>4.333333333333333</v>
      </c>
      <c r="H72" s="8">
        <f t="shared" si="5"/>
        <v>0</v>
      </c>
    </row>
    <row r="73" spans="2:16" ht="17" x14ac:dyDescent="0.2">
      <c r="B73" s="6" t="s">
        <v>7</v>
      </c>
      <c r="C73" s="8">
        <f t="shared" si="6"/>
        <v>30.333333333333332</v>
      </c>
      <c r="D73" s="8">
        <f t="shared" si="6"/>
        <v>1167</v>
      </c>
      <c r="E73" s="8">
        <f t="shared" si="6"/>
        <v>1369.6666666666665</v>
      </c>
      <c r="F73" s="8">
        <f t="shared" si="6"/>
        <v>24.333333333333332</v>
      </c>
      <c r="G73" s="25" t="s">
        <v>14</v>
      </c>
      <c r="H73" s="6">
        <v>0</v>
      </c>
    </row>
    <row r="74" spans="2:16" ht="17" x14ac:dyDescent="0.2">
      <c r="B74" s="6" t="s">
        <v>22</v>
      </c>
      <c r="C74" s="8">
        <f t="shared" si="6"/>
        <v>13</v>
      </c>
      <c r="D74" s="8">
        <f t="shared" si="6"/>
        <v>220.33333333333331</v>
      </c>
      <c r="E74" s="8">
        <f t="shared" si="6"/>
        <v>815.25</v>
      </c>
      <c r="F74" s="6">
        <v>0</v>
      </c>
      <c r="G74" s="6">
        <v>0</v>
      </c>
      <c r="H74" s="25" t="s">
        <v>14</v>
      </c>
    </row>
    <row r="76" spans="2:16" ht="17" x14ac:dyDescent="0.2">
      <c r="B76" s="26" t="s">
        <v>62</v>
      </c>
      <c r="C76" s="14"/>
      <c r="D76" s="15"/>
      <c r="E76" s="15"/>
      <c r="F76" s="15"/>
      <c r="L76" t="str">
        <f>C68</f>
        <v>Belawan</v>
      </c>
      <c r="M76" t="s">
        <v>63</v>
      </c>
      <c r="N76" t="s">
        <v>64</v>
      </c>
    </row>
    <row r="77" spans="2:16" x14ac:dyDescent="0.2">
      <c r="L77" t="str">
        <f>D68</f>
        <v>Tanjung Priok</v>
      </c>
      <c r="M77" s="27">
        <f>D69</f>
        <v>2231</v>
      </c>
      <c r="N77" s="27">
        <f>C70</f>
        <v>2246.6666666666665</v>
      </c>
    </row>
    <row r="78" spans="2:16" ht="17" x14ac:dyDescent="0.2">
      <c r="B78" s="4" t="s">
        <v>2</v>
      </c>
      <c r="C78" s="5" t="s">
        <v>3</v>
      </c>
      <c r="D78" s="6" t="s">
        <v>4</v>
      </c>
      <c r="E78" s="6" t="s">
        <v>5</v>
      </c>
      <c r="F78" s="6" t="s">
        <v>6</v>
      </c>
      <c r="G78" s="6" t="s">
        <v>7</v>
      </c>
      <c r="H78" s="6" t="s">
        <v>8</v>
      </c>
      <c r="L78" t="str">
        <f>E68</f>
        <v>Tanjung Perak</v>
      </c>
      <c r="M78" s="27">
        <f>E69</f>
        <v>377.85714285714289</v>
      </c>
      <c r="N78" s="27">
        <f>C71</f>
        <v>376.72727272727275</v>
      </c>
    </row>
    <row r="79" spans="2:16" ht="17" x14ac:dyDescent="0.2">
      <c r="B79" s="6" t="s">
        <v>3</v>
      </c>
      <c r="C79" s="25" t="s">
        <v>14</v>
      </c>
      <c r="D79" s="8">
        <f>(D50/D59)*D15</f>
        <v>709.33333333333326</v>
      </c>
      <c r="E79" s="8">
        <f t="shared" ref="E79:H80" si="7">(E50/E59)*E15</f>
        <v>956.57142857142867</v>
      </c>
      <c r="F79" s="8">
        <f t="shared" si="7"/>
        <v>910</v>
      </c>
      <c r="G79" s="8">
        <f t="shared" si="7"/>
        <v>1067.5</v>
      </c>
      <c r="H79" s="8">
        <f t="shared" si="7"/>
        <v>1871.3333333333333</v>
      </c>
      <c r="L79" t="str">
        <f>F68</f>
        <v>Banjarmasin</v>
      </c>
      <c r="M79" s="27">
        <f>F69</f>
        <v>31.636363636363637</v>
      </c>
      <c r="N79" s="27">
        <f>C72</f>
        <v>30</v>
      </c>
    </row>
    <row r="80" spans="2:16" ht="17" x14ac:dyDescent="0.2">
      <c r="B80" s="6" t="s">
        <v>4</v>
      </c>
      <c r="C80" s="8">
        <f>(C51/C60)*C16</f>
        <v>709.33333333333326</v>
      </c>
      <c r="D80" s="25" t="s">
        <v>14</v>
      </c>
      <c r="E80" s="8">
        <f t="shared" si="7"/>
        <v>276.63157894736838</v>
      </c>
      <c r="F80" s="8">
        <f t="shared" si="7"/>
        <v>397.29411764705884</v>
      </c>
      <c r="G80" s="8">
        <f t="shared" si="7"/>
        <v>537.33333333333326</v>
      </c>
      <c r="H80" s="8">
        <f t="shared" si="7"/>
        <v>1401.3333333333333</v>
      </c>
      <c r="L80" t="str">
        <f>G68</f>
        <v>Makasar</v>
      </c>
      <c r="M80" s="27">
        <f>G69</f>
        <v>30.375</v>
      </c>
      <c r="N80" s="27">
        <f>C73</f>
        <v>30.333333333333332</v>
      </c>
    </row>
    <row r="81" spans="2:14" ht="17" x14ac:dyDescent="0.2">
      <c r="B81" s="6" t="s">
        <v>5</v>
      </c>
      <c r="C81" s="8">
        <f t="shared" ref="C81:H84" si="8">(C52/C61)*C17</f>
        <v>946.90909090909088</v>
      </c>
      <c r="D81" s="8">
        <f t="shared" si="8"/>
        <v>276.63157894736838</v>
      </c>
      <c r="E81" s="25" t="s">
        <v>14</v>
      </c>
      <c r="F81" s="8">
        <f t="shared" si="8"/>
        <v>205</v>
      </c>
      <c r="G81" s="8">
        <f t="shared" si="8"/>
        <v>330.90909090909088</v>
      </c>
      <c r="H81" s="8">
        <f t="shared" si="8"/>
        <v>1135</v>
      </c>
      <c r="L81" t="str">
        <f>H68</f>
        <v>Sororng</v>
      </c>
      <c r="M81" s="27">
        <f>H69</f>
        <v>9</v>
      </c>
      <c r="N81" s="27">
        <f>C74</f>
        <v>13</v>
      </c>
    </row>
    <row r="82" spans="2:14" ht="17" x14ac:dyDescent="0.2">
      <c r="B82" s="6" t="s">
        <v>6</v>
      </c>
      <c r="C82" s="8">
        <f t="shared" si="8"/>
        <v>953.33333333333326</v>
      </c>
      <c r="D82" s="8">
        <f t="shared" si="8"/>
        <v>397.29411764705884</v>
      </c>
      <c r="E82" s="8">
        <f t="shared" si="8"/>
        <v>210.85714285714286</v>
      </c>
      <c r="F82" s="25" t="s">
        <v>14</v>
      </c>
      <c r="G82" s="8">
        <f t="shared" si="8"/>
        <v>235.33333333333331</v>
      </c>
      <c r="H82" s="8">
        <f t="shared" si="8"/>
        <v>1051.3333333333333</v>
      </c>
    </row>
    <row r="83" spans="2:14" ht="17" x14ac:dyDescent="0.2">
      <c r="B83" s="6" t="s">
        <v>7</v>
      </c>
      <c r="C83" s="8">
        <f t="shared" si="8"/>
        <v>1138.6666666666665</v>
      </c>
      <c r="D83" s="8">
        <f t="shared" si="8"/>
        <v>537.33333333333326</v>
      </c>
      <c r="E83" s="8">
        <f t="shared" si="8"/>
        <v>346.66666666666663</v>
      </c>
      <c r="F83" s="8">
        <f t="shared" si="8"/>
        <v>235.33333333333331</v>
      </c>
      <c r="G83" s="25" t="s">
        <v>14</v>
      </c>
      <c r="H83" s="8">
        <v>0</v>
      </c>
    </row>
    <row r="84" spans="2:14" ht="17" x14ac:dyDescent="0.2">
      <c r="B84" s="6" t="s">
        <v>22</v>
      </c>
      <c r="C84" s="8">
        <f t="shared" si="8"/>
        <v>1871.3333333333333</v>
      </c>
      <c r="D84" s="8">
        <f t="shared" si="8"/>
        <v>1401.3333333333333</v>
      </c>
      <c r="E84" s="8">
        <f t="shared" si="8"/>
        <v>1135</v>
      </c>
      <c r="F84" s="8">
        <v>0</v>
      </c>
      <c r="G84" s="8">
        <v>0</v>
      </c>
      <c r="H84" s="25" t="s">
        <v>14</v>
      </c>
    </row>
    <row r="86" spans="2:14" ht="17" x14ac:dyDescent="0.2">
      <c r="B86" s="26" t="s">
        <v>65</v>
      </c>
      <c r="C86" s="14"/>
      <c r="D86" s="15"/>
      <c r="E86" s="15"/>
      <c r="F86" s="15"/>
    </row>
    <row r="87" spans="2:14" ht="17" x14ac:dyDescent="0.2">
      <c r="B87" s="4"/>
      <c r="C87" s="5" t="s">
        <v>3</v>
      </c>
      <c r="D87" s="6" t="s">
        <v>4</v>
      </c>
      <c r="E87" s="6" t="s">
        <v>5</v>
      </c>
      <c r="F87" s="6" t="s">
        <v>6</v>
      </c>
      <c r="G87" s="6" t="s">
        <v>7</v>
      </c>
      <c r="H87" s="6" t="s">
        <v>8</v>
      </c>
    </row>
    <row r="88" spans="2:14" ht="34" x14ac:dyDescent="0.2">
      <c r="B88" s="6" t="s">
        <v>66</v>
      </c>
      <c r="C88" s="25" t="s">
        <v>67</v>
      </c>
      <c r="D88" s="8" t="s">
        <v>68</v>
      </c>
      <c r="E88" s="8" t="s">
        <v>69</v>
      </c>
      <c r="F88" s="8" t="s">
        <v>70</v>
      </c>
      <c r="G88" s="8" t="s">
        <v>71</v>
      </c>
      <c r="H88" s="8" t="s">
        <v>72</v>
      </c>
    </row>
    <row r="90" spans="2:14" ht="30" customHeight="1" thickBot="1" x14ac:dyDescent="0.25">
      <c r="B90" s="28" t="s">
        <v>73</v>
      </c>
      <c r="C90" s="14"/>
      <c r="D90" s="15"/>
      <c r="E90" s="15"/>
      <c r="F90" s="15"/>
    </row>
    <row r="91" spans="2:14" ht="18" thickBot="1" x14ac:dyDescent="0.25">
      <c r="B91" s="20"/>
      <c r="C91" s="21" t="s">
        <v>3</v>
      </c>
      <c r="D91" s="21" t="s">
        <v>74</v>
      </c>
      <c r="E91" s="21" t="s">
        <v>75</v>
      </c>
      <c r="F91" s="21" t="s">
        <v>6</v>
      </c>
      <c r="G91" s="21" t="s">
        <v>76</v>
      </c>
      <c r="H91" s="21" t="s">
        <v>22</v>
      </c>
    </row>
    <row r="92" spans="2:14" ht="18" thickBot="1" x14ac:dyDescent="0.25">
      <c r="B92" s="29" t="s">
        <v>77</v>
      </c>
      <c r="C92" s="30">
        <v>527117</v>
      </c>
      <c r="D92" s="30">
        <v>87446</v>
      </c>
      <c r="E92" s="24">
        <v>30</v>
      </c>
      <c r="F92" s="30">
        <v>96397</v>
      </c>
      <c r="G92" s="30">
        <v>35751</v>
      </c>
      <c r="H92" s="30">
        <v>12354</v>
      </c>
    </row>
    <row r="95" spans="2:14" x14ac:dyDescent="0.2">
      <c r="B95" s="13" t="s">
        <v>36</v>
      </c>
      <c r="C95" s="14"/>
      <c r="D95" s="15"/>
      <c r="E95" s="15"/>
      <c r="F95" s="15"/>
    </row>
    <row r="96" spans="2:14" ht="17" x14ac:dyDescent="0.2">
      <c r="B96" s="4"/>
      <c r="C96" s="5" t="s">
        <v>3</v>
      </c>
      <c r="D96" s="6" t="s">
        <v>4</v>
      </c>
      <c r="E96" s="6" t="s">
        <v>5</v>
      </c>
      <c r="F96" s="6" t="s">
        <v>6</v>
      </c>
      <c r="G96" s="6" t="s">
        <v>7</v>
      </c>
      <c r="H96" s="6" t="s">
        <v>22</v>
      </c>
    </row>
    <row r="97" spans="2:8" ht="17" x14ac:dyDescent="0.2">
      <c r="B97" s="6" t="s">
        <v>3</v>
      </c>
      <c r="C97" s="5" t="s">
        <v>14</v>
      </c>
      <c r="D97" s="11">
        <v>4.4000000000000004</v>
      </c>
      <c r="E97" s="11">
        <v>6.2</v>
      </c>
      <c r="F97" s="5">
        <v>6</v>
      </c>
      <c r="G97" s="5">
        <v>7.1</v>
      </c>
      <c r="H97" s="5">
        <v>11.7</v>
      </c>
    </row>
    <row r="98" spans="2:8" ht="17" x14ac:dyDescent="0.2">
      <c r="B98" s="6" t="s">
        <v>4</v>
      </c>
      <c r="C98" s="11">
        <v>4.4000000000000004</v>
      </c>
      <c r="D98" s="5" t="s">
        <v>14</v>
      </c>
      <c r="E98" s="11">
        <v>1.8</v>
      </c>
      <c r="F98" s="11">
        <v>2.6</v>
      </c>
      <c r="G98" s="11">
        <v>3.4</v>
      </c>
      <c r="H98" s="5">
        <v>8.8000000000000007</v>
      </c>
    </row>
    <row r="99" spans="2:8" ht="17" x14ac:dyDescent="0.2">
      <c r="B99" s="6" t="s">
        <v>5</v>
      </c>
      <c r="C99" s="11">
        <v>6.2</v>
      </c>
      <c r="D99" s="11">
        <v>1.8</v>
      </c>
      <c r="E99" s="5" t="s">
        <v>14</v>
      </c>
      <c r="F99" s="11">
        <v>1.4</v>
      </c>
      <c r="G99" s="11">
        <v>2.2000000000000002</v>
      </c>
      <c r="H99" s="11">
        <v>7.6</v>
      </c>
    </row>
    <row r="100" spans="2:8" ht="17" x14ac:dyDescent="0.2">
      <c r="B100" s="6" t="s">
        <v>6</v>
      </c>
      <c r="C100" s="5">
        <v>6</v>
      </c>
      <c r="D100" s="11">
        <v>2.6</v>
      </c>
      <c r="E100" s="11">
        <v>1.4</v>
      </c>
      <c r="F100" s="5" t="s">
        <v>14</v>
      </c>
      <c r="G100" s="5">
        <v>1.5</v>
      </c>
      <c r="H100" s="5">
        <v>6.6</v>
      </c>
    </row>
    <row r="101" spans="2:8" ht="17" x14ac:dyDescent="0.2">
      <c r="B101" s="6" t="s">
        <v>7</v>
      </c>
      <c r="C101" s="5">
        <v>7.1</v>
      </c>
      <c r="D101" s="11">
        <v>3.4</v>
      </c>
      <c r="E101" s="11">
        <v>2.2000000000000002</v>
      </c>
      <c r="F101" s="5">
        <v>1.5</v>
      </c>
      <c r="G101" s="5" t="s">
        <v>14</v>
      </c>
      <c r="H101" s="5">
        <v>5.7</v>
      </c>
    </row>
    <row r="102" spans="2:8" ht="17" x14ac:dyDescent="0.2">
      <c r="B102" s="6" t="s">
        <v>22</v>
      </c>
      <c r="C102" s="5">
        <v>11.7</v>
      </c>
      <c r="D102" s="5">
        <v>8.8000000000000007</v>
      </c>
      <c r="E102" s="11">
        <v>7.6</v>
      </c>
      <c r="F102" s="5">
        <v>6.6</v>
      </c>
      <c r="G102" s="5">
        <v>5.7</v>
      </c>
      <c r="H102" s="5" t="s">
        <v>14</v>
      </c>
    </row>
  </sheetData>
  <hyperlinks>
    <hyperlink ref="L3" r:id="rId1" display="https://ipctpk.co.id/tarif/" xr:uid="{E9AE1993-0E72-2142-8121-E82BD75A36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bhidara swantika</dc:creator>
  <cp:lastModifiedBy>bhidara swantika</cp:lastModifiedBy>
  <dcterms:created xsi:type="dcterms:W3CDTF">2023-07-09T09:44:17Z</dcterms:created>
  <dcterms:modified xsi:type="dcterms:W3CDTF">2023-07-09T09:44:40Z</dcterms:modified>
</cp:coreProperties>
</file>